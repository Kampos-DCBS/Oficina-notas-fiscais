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esktop\NF 2023\"/>
    </mc:Choice>
  </mc:AlternateContent>
  <bookViews>
    <workbookView xWindow="0" yWindow="0" windowWidth="21600" windowHeight="9735" activeTab="1"/>
  </bookViews>
  <sheets>
    <sheet name="DEZEMBRO" sheetId="1" r:id="rId1"/>
    <sheet name="JANEIR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2" l="1"/>
  <c r="C16" i="2"/>
  <c r="D7" i="2" l="1"/>
  <c r="C7" i="2"/>
  <c r="I5" i="1" l="1"/>
  <c r="E44" i="2" l="1"/>
  <c r="E43" i="2"/>
  <c r="E41" i="2"/>
  <c r="D46" i="2"/>
  <c r="C4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2" i="2"/>
  <c r="E45" i="2"/>
  <c r="E46" i="2" l="1"/>
  <c r="C51" i="1"/>
  <c r="C55" i="1"/>
  <c r="C54" i="1"/>
  <c r="E54" i="1" s="1"/>
  <c r="E53" i="1"/>
  <c r="E55" i="1"/>
  <c r="E51" i="1" l="1"/>
  <c r="C50" i="1"/>
  <c r="E50" i="1" s="1"/>
  <c r="C49" i="1"/>
  <c r="E46" i="1"/>
  <c r="E47" i="1"/>
  <c r="E48" i="1"/>
  <c r="E49" i="1"/>
  <c r="C40" i="1"/>
  <c r="E36" i="1"/>
  <c r="E37" i="1"/>
  <c r="E38" i="1"/>
  <c r="E39" i="1"/>
  <c r="E40" i="1"/>
  <c r="E41" i="1"/>
  <c r="E42" i="1"/>
  <c r="E43" i="1"/>
  <c r="E44" i="1"/>
  <c r="E45" i="1"/>
  <c r="E52" i="1"/>
  <c r="C25" i="1" l="1"/>
  <c r="E32" i="1" l="1"/>
  <c r="E33" i="1"/>
  <c r="E34" i="1"/>
  <c r="E35" i="1"/>
  <c r="E27" i="1"/>
  <c r="E28" i="1"/>
  <c r="E29" i="1"/>
  <c r="E30" i="1"/>
  <c r="E31" i="1"/>
  <c r="E56" i="1"/>
  <c r="E57" i="1"/>
  <c r="E58" i="1"/>
  <c r="C59" i="1" l="1"/>
  <c r="D59" i="1"/>
  <c r="E22" i="1"/>
  <c r="E23" i="1"/>
  <c r="E24" i="1"/>
  <c r="E25" i="1"/>
  <c r="E26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E4" i="1"/>
  <c r="E5" i="1"/>
  <c r="E6" i="1"/>
  <c r="E2" i="1"/>
  <c r="E59" i="1" l="1"/>
</calcChain>
</file>

<file path=xl/sharedStrings.xml><?xml version="1.0" encoding="utf-8"?>
<sst xmlns="http://schemas.openxmlformats.org/spreadsheetml/2006/main" count="104" uniqueCount="94">
  <si>
    <t>DATA</t>
  </si>
  <si>
    <t>CLIENTE</t>
  </si>
  <si>
    <t>VALOR PEÇA</t>
  </si>
  <si>
    <t>TOTAL ENTRADA</t>
  </si>
  <si>
    <t>ERIKA SALLES DOS SANTOS MAGALHÃES</t>
  </si>
  <si>
    <t>NEIDE MARISE BARRETO MURTA</t>
  </si>
  <si>
    <t>ANDRE ALVARENGA CYRINO</t>
  </si>
  <si>
    <t>CLEIDE ALVES</t>
  </si>
  <si>
    <t>ERIKA GOUVEIA VIANA NEVES</t>
  </si>
  <si>
    <t>FORNECEDOR</t>
  </si>
  <si>
    <t>VALOR PRODUTOS</t>
  </si>
  <si>
    <t>SIDNEY RAMOS DA SILVA</t>
  </si>
  <si>
    <t>DENILSON CARDOSO MAIA</t>
  </si>
  <si>
    <t>MARCUS VINICIUS GARCIA DE OLIVEIRA</t>
  </si>
  <si>
    <t>GABRIEL SANTANA GOMES</t>
  </si>
  <si>
    <t>ROSANA FERREIRA ZICA</t>
  </si>
  <si>
    <t>VALOR MÃO DE OBRA</t>
  </si>
  <si>
    <t>ANNA CAROLINA RODRIGUES CHAMONE</t>
  </si>
  <si>
    <t>MAXWELL RODRIGUES CUSTODIO</t>
  </si>
  <si>
    <t>LUCIENE GUIMARÃES  FRANÇA</t>
  </si>
  <si>
    <t>JORGE ALVES DA SILVA JUNIOR</t>
  </si>
  <si>
    <t>JOSE FARIA MALTA JUUNIOR</t>
  </si>
  <si>
    <t>CLEDER ALEXANDRE SILVA</t>
  </si>
  <si>
    <t>SEGLAR LTDA</t>
  </si>
  <si>
    <t>JOZELINA MARIA DE ARAUJO</t>
  </si>
  <si>
    <t>PEDRO HENRIQUE FIDELIS COSTA</t>
  </si>
  <si>
    <t>ADRIANO CARLOS ALVES SANTANA</t>
  </si>
  <si>
    <t>MUNDIAL PEÇAS</t>
  </si>
  <si>
    <t>LANÇADO</t>
  </si>
  <si>
    <t>sim</t>
  </si>
  <si>
    <t>BRUNO DIMAS MORAES</t>
  </si>
  <si>
    <t>DAISE CARINE</t>
  </si>
  <si>
    <t>GUILHERME PANTALEAO</t>
  </si>
  <si>
    <t>KEITH RICHARDS NETTO</t>
  </si>
  <si>
    <t>SERGIO MURILO</t>
  </si>
  <si>
    <t>IVONETE DE FATIMA</t>
  </si>
  <si>
    <t>RICARDO WAGNER</t>
  </si>
  <si>
    <t>JOSE WILSON</t>
  </si>
  <si>
    <t>MARIA LUIZA</t>
  </si>
  <si>
    <t>JULIANA MARIA</t>
  </si>
  <si>
    <t>TATIANE RIBEIRO</t>
  </si>
  <si>
    <t>MARCELO APARECIDO</t>
  </si>
  <si>
    <t>RODNEY ZAMPA</t>
  </si>
  <si>
    <t>LINDALVA MARIA</t>
  </si>
  <si>
    <t>FLAVIO HENRIQUE DE OLIVEIRA</t>
  </si>
  <si>
    <t>IVONE DE MELO</t>
  </si>
  <si>
    <t>MARIA DAS GRAÇAS FERREIRA</t>
  </si>
  <si>
    <t>ALFREDO GUSTAVO DE MELO</t>
  </si>
  <si>
    <t>LETICIA ANDRADE DE MELO</t>
  </si>
  <si>
    <t>ZARIF SEMAAN</t>
  </si>
  <si>
    <t>ELAINE CRISTINA</t>
  </si>
  <si>
    <t>CESAR MONTEIRO</t>
  </si>
  <si>
    <t xml:space="preserve"> ALANDERSON HENRIQUE</t>
  </si>
  <si>
    <t>SILAS AMARAL ASSIS</t>
  </si>
  <si>
    <t>EDUARDO JOSÉ</t>
  </si>
  <si>
    <t>FERNANDO JOSE</t>
  </si>
  <si>
    <t>ANTONIO JOSE</t>
  </si>
  <si>
    <t>LUCAS ETHIENE</t>
  </si>
  <si>
    <t>CLAUDINO AUGUSTO</t>
  </si>
  <si>
    <t>AMANDA SUELLEN</t>
  </si>
  <si>
    <t>LAURITO BARBOSA</t>
  </si>
  <si>
    <t>VANIA DE FATIMA</t>
  </si>
  <si>
    <t xml:space="preserve">VILMA LUCIA </t>
  </si>
  <si>
    <t>MURILO EUSTAQUIO</t>
  </si>
  <si>
    <t>Data</t>
  </si>
  <si>
    <t>Nome</t>
  </si>
  <si>
    <t>Mão de Obra</t>
  </si>
  <si>
    <t>Peça  com NF</t>
  </si>
  <si>
    <t>TOTAL PAGAMENTO</t>
  </si>
  <si>
    <t xml:space="preserve">Verlam Andrade </t>
  </si>
  <si>
    <t>Vinícius Teixeira</t>
  </si>
  <si>
    <t xml:space="preserve">Xisto Carneiro </t>
  </si>
  <si>
    <t>Amanda Suellen</t>
  </si>
  <si>
    <t>Shirley Aparecida</t>
  </si>
  <si>
    <t>Marcio Pedro</t>
  </si>
  <si>
    <t>Leandro Carlos</t>
  </si>
  <si>
    <t>Leticia Pinel</t>
  </si>
  <si>
    <t>mundial</t>
  </si>
  <si>
    <t>ok</t>
  </si>
  <si>
    <t>Felipe Augusto</t>
  </si>
  <si>
    <t>Richardson José</t>
  </si>
  <si>
    <t>Danilo da Silva</t>
  </si>
  <si>
    <t>Roberto Ney</t>
  </si>
  <si>
    <t>Rodrigo Comanduci</t>
  </si>
  <si>
    <t>Hilario Roberto</t>
  </si>
  <si>
    <t>Lucimar Aparecida</t>
  </si>
  <si>
    <t>Aliny Costa</t>
  </si>
  <si>
    <t>Maria Elzita</t>
  </si>
  <si>
    <t>Reginaldo Marcio</t>
  </si>
  <si>
    <t>Priscylla Mayumi</t>
  </si>
  <si>
    <t>Wilian Ferreira</t>
  </si>
  <si>
    <t>Luiz Claudio</t>
  </si>
  <si>
    <t>Alex Luigi</t>
  </si>
  <si>
    <t>Murilo Eustáquio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</si>
</sst>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/>
    <xf numFmtId="0" fontId="0" fillId="0" borderId="1" xfId="0" applyFill="1" applyBorder="1"/>
    <xf numFmtId="14" fontId="0" fillId="0" borderId="1" xfId="0" applyNumberFormat="1" applyFill="1" applyBorder="1"/>
    <xf numFmtId="164" fontId="0" fillId="3" borderId="1" xfId="0" applyNumberFormat="1" applyFill="1" applyBorder="1"/>
    <xf numFmtId="164" fontId="1" fillId="3" borderId="1" xfId="0" applyNumberFormat="1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0" borderId="0" xfId="0" applyAlignment="1">
      <alignment vertical="center"/>
    </xf>
    <xf numFmtId="16" fontId="0" fillId="0" borderId="1" xfId="0" applyNumberFormat="1" applyBorder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37" workbookViewId="0">
      <selection activeCell="D56" sqref="D56"/>
    </sheetView>
  </sheetViews>
  <sheetFormatPr defaultRowHeight="15" x14ac:dyDescent="0.25"/>
  <cols>
    <col min="1" max="1" width="10.7109375" bestFit="1" customWidth="1"/>
    <col min="2" max="2" width="36.5703125" bestFit="1" customWidth="1"/>
    <col min="3" max="3" width="11.85546875" bestFit="1" customWidth="1"/>
    <col min="4" max="5" width="11.7109375" bestFit="1" customWidth="1"/>
    <col min="7" max="7" width="9.7109375" style="7" customWidth="1"/>
    <col min="8" max="8" width="15.5703125" style="7" bestFit="1" customWidth="1"/>
    <col min="9" max="9" width="11.7109375" style="7" bestFit="1" customWidth="1"/>
    <col min="10" max="10" width="10.5703125" style="7" customWidth="1"/>
  </cols>
  <sheetData>
    <row r="1" spans="1:10" ht="32.25" customHeight="1" x14ac:dyDescent="0.25">
      <c r="A1" s="1" t="s">
        <v>0</v>
      </c>
      <c r="B1" s="1" t="s">
        <v>1</v>
      </c>
      <c r="C1" s="2" t="s">
        <v>16</v>
      </c>
      <c r="D1" s="2" t="s">
        <v>2</v>
      </c>
      <c r="E1" s="2" t="s">
        <v>3</v>
      </c>
      <c r="G1" s="8" t="s">
        <v>0</v>
      </c>
      <c r="H1" s="8" t="s">
        <v>9</v>
      </c>
      <c r="I1" s="8" t="s">
        <v>10</v>
      </c>
      <c r="J1" s="8" t="s">
        <v>28</v>
      </c>
    </row>
    <row r="2" spans="1:10" x14ac:dyDescent="0.25">
      <c r="A2" s="3">
        <v>45261</v>
      </c>
      <c r="B2" s="4" t="s">
        <v>4</v>
      </c>
      <c r="C2" s="5">
        <v>300</v>
      </c>
      <c r="D2" s="5"/>
      <c r="E2" s="5">
        <f>D2+C2</f>
        <v>300</v>
      </c>
      <c r="G2" s="9">
        <v>45272</v>
      </c>
      <c r="H2" s="10" t="s">
        <v>27</v>
      </c>
      <c r="I2" s="11">
        <v>4482.9399999999996</v>
      </c>
      <c r="J2" s="10" t="s">
        <v>29</v>
      </c>
    </row>
    <row r="3" spans="1:10" x14ac:dyDescent="0.25">
      <c r="A3" s="3">
        <v>45264</v>
      </c>
      <c r="B3" s="4" t="s">
        <v>5</v>
      </c>
      <c r="C3" s="5">
        <v>863</v>
      </c>
      <c r="D3" s="5"/>
      <c r="E3" s="5">
        <f t="shared" ref="E3:E58" si="0">D3+C3</f>
        <v>863</v>
      </c>
      <c r="G3" s="9">
        <v>45655</v>
      </c>
      <c r="H3" s="10" t="s">
        <v>27</v>
      </c>
      <c r="I3" s="11">
        <v>6671.31</v>
      </c>
      <c r="J3" s="10" t="s">
        <v>29</v>
      </c>
    </row>
    <row r="4" spans="1:10" x14ac:dyDescent="0.25">
      <c r="A4" s="3">
        <v>45264</v>
      </c>
      <c r="B4" s="4" t="s">
        <v>6</v>
      </c>
      <c r="C4" s="5">
        <v>3927</v>
      </c>
      <c r="D4" s="5"/>
      <c r="E4" s="5">
        <f t="shared" si="0"/>
        <v>3927</v>
      </c>
      <c r="G4" s="9">
        <v>45647</v>
      </c>
      <c r="H4" s="10" t="s">
        <v>27</v>
      </c>
      <c r="I4" s="11">
        <v>3618.19</v>
      </c>
      <c r="J4" s="10" t="s">
        <v>29</v>
      </c>
    </row>
    <row r="5" spans="1:10" x14ac:dyDescent="0.25">
      <c r="A5" s="3">
        <v>45264</v>
      </c>
      <c r="B5" s="4" t="s">
        <v>7</v>
      </c>
      <c r="C5" s="5">
        <v>359</v>
      </c>
      <c r="D5" s="5"/>
      <c r="E5" s="5">
        <f t="shared" si="0"/>
        <v>359</v>
      </c>
      <c r="F5" s="10"/>
      <c r="G5" s="10"/>
      <c r="H5" s="10"/>
      <c r="I5" s="11">
        <f>SUM(I2:I4)</f>
        <v>14772.44</v>
      </c>
      <c r="J5" s="10"/>
    </row>
    <row r="6" spans="1:10" x14ac:dyDescent="0.25">
      <c r="A6" s="3">
        <v>45264</v>
      </c>
      <c r="B6" s="4" t="s">
        <v>8</v>
      </c>
      <c r="C6" s="5">
        <v>235</v>
      </c>
      <c r="D6" s="5"/>
      <c r="E6" s="5">
        <f t="shared" si="0"/>
        <v>235</v>
      </c>
      <c r="G6" s="10"/>
      <c r="H6" s="10"/>
      <c r="I6" s="11"/>
      <c r="J6" s="10"/>
    </row>
    <row r="7" spans="1:10" x14ac:dyDescent="0.25">
      <c r="A7" s="3">
        <v>45265</v>
      </c>
      <c r="B7" s="4" t="s">
        <v>11</v>
      </c>
      <c r="C7" s="5">
        <v>744</v>
      </c>
      <c r="D7" s="12">
        <v>399</v>
      </c>
      <c r="E7" s="5">
        <f t="shared" si="0"/>
        <v>1143</v>
      </c>
      <c r="G7" s="10"/>
      <c r="H7" s="10"/>
      <c r="I7" s="11"/>
      <c r="J7" s="10"/>
    </row>
    <row r="8" spans="1:10" x14ac:dyDescent="0.25">
      <c r="A8" s="3">
        <v>45265</v>
      </c>
      <c r="B8" s="4" t="s">
        <v>12</v>
      </c>
      <c r="C8" s="5">
        <v>100</v>
      </c>
      <c r="D8" s="12">
        <v>359</v>
      </c>
      <c r="E8" s="5">
        <f t="shared" si="0"/>
        <v>459</v>
      </c>
      <c r="G8" s="10"/>
      <c r="H8" s="10"/>
      <c r="I8" s="11"/>
      <c r="J8" s="10"/>
    </row>
    <row r="9" spans="1:10" x14ac:dyDescent="0.25">
      <c r="A9" s="3">
        <v>45264</v>
      </c>
      <c r="B9" s="4" t="s">
        <v>13</v>
      </c>
      <c r="C9" s="5">
        <v>296</v>
      </c>
      <c r="D9" s="12"/>
      <c r="E9" s="5">
        <f t="shared" si="0"/>
        <v>296</v>
      </c>
      <c r="G9" s="10"/>
      <c r="H9" s="10"/>
      <c r="I9" s="11"/>
      <c r="J9" s="10"/>
    </row>
    <row r="10" spans="1:10" x14ac:dyDescent="0.25">
      <c r="A10" s="3">
        <v>45264</v>
      </c>
      <c r="B10" s="4" t="s">
        <v>14</v>
      </c>
      <c r="C10" s="5">
        <v>1595</v>
      </c>
      <c r="D10" s="12">
        <v>205</v>
      </c>
      <c r="E10" s="5">
        <f t="shared" si="0"/>
        <v>1800</v>
      </c>
      <c r="G10" s="10"/>
      <c r="H10" s="10"/>
      <c r="I10" s="11"/>
      <c r="J10" s="10"/>
    </row>
    <row r="11" spans="1:10" x14ac:dyDescent="0.25">
      <c r="A11" s="3">
        <v>45265</v>
      </c>
      <c r="B11" s="4" t="s">
        <v>15</v>
      </c>
      <c r="C11" s="5">
        <v>200</v>
      </c>
      <c r="D11" s="12">
        <v>349</v>
      </c>
      <c r="E11" s="5">
        <f t="shared" si="0"/>
        <v>549</v>
      </c>
      <c r="G11" s="10"/>
      <c r="H11" s="10"/>
      <c r="I11" s="11"/>
      <c r="J11" s="10"/>
    </row>
    <row r="12" spans="1:10" x14ac:dyDescent="0.25">
      <c r="A12" s="3">
        <v>45266</v>
      </c>
      <c r="B12" s="4" t="s">
        <v>17</v>
      </c>
      <c r="C12" s="5">
        <v>431</v>
      </c>
      <c r="D12" s="12">
        <v>238</v>
      </c>
      <c r="E12" s="5">
        <f t="shared" si="0"/>
        <v>669</v>
      </c>
      <c r="G12" s="10"/>
      <c r="H12" s="10"/>
      <c r="I12" s="11"/>
      <c r="J12" s="10"/>
    </row>
    <row r="13" spans="1:10" x14ac:dyDescent="0.25">
      <c r="A13" s="3">
        <v>45266</v>
      </c>
      <c r="B13" s="13" t="s">
        <v>18</v>
      </c>
      <c r="C13" s="12">
        <v>300</v>
      </c>
      <c r="D13" s="12">
        <v>129</v>
      </c>
      <c r="E13" s="5">
        <f t="shared" si="0"/>
        <v>429</v>
      </c>
      <c r="G13" s="10"/>
      <c r="H13" s="10"/>
      <c r="I13" s="11"/>
      <c r="J13" s="10"/>
    </row>
    <row r="14" spans="1:10" x14ac:dyDescent="0.25">
      <c r="A14" s="3">
        <v>45267</v>
      </c>
      <c r="B14" s="4" t="s">
        <v>19</v>
      </c>
      <c r="C14" s="5">
        <v>460</v>
      </c>
      <c r="D14" s="12">
        <v>169</v>
      </c>
      <c r="E14" s="5">
        <f t="shared" si="0"/>
        <v>629</v>
      </c>
      <c r="G14" s="10"/>
      <c r="H14" s="10"/>
      <c r="I14" s="11"/>
      <c r="J14" s="10"/>
    </row>
    <row r="15" spans="1:10" x14ac:dyDescent="0.25">
      <c r="A15" s="3">
        <v>45267</v>
      </c>
      <c r="B15" s="4" t="s">
        <v>20</v>
      </c>
      <c r="C15" s="5">
        <v>120</v>
      </c>
      <c r="D15" s="12"/>
      <c r="E15" s="5">
        <f t="shared" si="0"/>
        <v>120</v>
      </c>
      <c r="G15" s="10"/>
      <c r="H15" s="10"/>
      <c r="I15" s="11"/>
      <c r="J15" s="10"/>
    </row>
    <row r="16" spans="1:10" x14ac:dyDescent="0.25">
      <c r="A16" s="3">
        <v>45269</v>
      </c>
      <c r="B16" s="4" t="s">
        <v>21</v>
      </c>
      <c r="C16" s="5">
        <v>179</v>
      </c>
      <c r="D16" s="12"/>
      <c r="E16" s="5">
        <f t="shared" si="0"/>
        <v>179</v>
      </c>
      <c r="G16" s="10"/>
      <c r="H16" s="10"/>
      <c r="I16" s="11"/>
      <c r="J16" s="10"/>
    </row>
    <row r="17" spans="1:10" x14ac:dyDescent="0.25">
      <c r="A17" s="14">
        <v>45269</v>
      </c>
      <c r="B17" s="13" t="s">
        <v>22</v>
      </c>
      <c r="C17" s="12">
        <v>1560</v>
      </c>
      <c r="D17" s="12">
        <v>3171</v>
      </c>
      <c r="E17" s="5">
        <f t="shared" si="0"/>
        <v>4731</v>
      </c>
      <c r="G17" s="10"/>
      <c r="H17" s="10"/>
      <c r="I17" s="11"/>
      <c r="J17" s="10"/>
    </row>
    <row r="18" spans="1:10" x14ac:dyDescent="0.25">
      <c r="A18" s="14">
        <v>45271</v>
      </c>
      <c r="B18" s="13" t="s">
        <v>23</v>
      </c>
      <c r="C18" s="12">
        <v>1751</v>
      </c>
      <c r="D18" s="12"/>
      <c r="E18" s="5">
        <f t="shared" si="0"/>
        <v>1751</v>
      </c>
      <c r="G18" s="10"/>
      <c r="H18" s="10"/>
      <c r="I18" s="11"/>
      <c r="J18" s="10"/>
    </row>
    <row r="19" spans="1:10" x14ac:dyDescent="0.25">
      <c r="A19" s="3">
        <v>45271</v>
      </c>
      <c r="B19" s="4" t="s">
        <v>24</v>
      </c>
      <c r="C19" s="5">
        <v>410</v>
      </c>
      <c r="D19" s="15">
        <v>438</v>
      </c>
      <c r="E19" s="5">
        <f t="shared" si="0"/>
        <v>848</v>
      </c>
      <c r="G19" s="10"/>
      <c r="H19" s="10"/>
      <c r="I19" s="11"/>
      <c r="J19" s="10"/>
    </row>
    <row r="20" spans="1:10" x14ac:dyDescent="0.25">
      <c r="A20" s="3">
        <v>45271</v>
      </c>
      <c r="B20" s="4" t="s">
        <v>25</v>
      </c>
      <c r="C20" s="5">
        <v>1805</v>
      </c>
      <c r="D20" s="15">
        <v>101</v>
      </c>
      <c r="E20" s="5">
        <f t="shared" si="0"/>
        <v>1906</v>
      </c>
      <c r="G20" s="10"/>
      <c r="H20" s="10"/>
      <c r="I20" s="11"/>
      <c r="J20" s="10"/>
    </row>
    <row r="21" spans="1:10" x14ac:dyDescent="0.25">
      <c r="A21" s="3">
        <v>45272</v>
      </c>
      <c r="B21" s="4" t="s">
        <v>26</v>
      </c>
      <c r="C21" s="5">
        <v>236</v>
      </c>
      <c r="D21" s="12"/>
      <c r="E21" s="5">
        <f t="shared" si="0"/>
        <v>236</v>
      </c>
      <c r="G21" s="10"/>
      <c r="H21" s="10"/>
      <c r="I21" s="11"/>
      <c r="J21" s="10"/>
    </row>
    <row r="22" spans="1:10" x14ac:dyDescent="0.25">
      <c r="A22" s="3">
        <v>45274</v>
      </c>
      <c r="B22" s="4" t="s">
        <v>30</v>
      </c>
      <c r="C22" s="5">
        <v>682</v>
      </c>
      <c r="D22" s="5"/>
      <c r="E22" s="5">
        <f t="shared" si="0"/>
        <v>682</v>
      </c>
      <c r="G22" s="10"/>
      <c r="H22" s="10"/>
      <c r="I22" s="11"/>
      <c r="J22" s="10"/>
    </row>
    <row r="23" spans="1:10" x14ac:dyDescent="0.25">
      <c r="A23" s="3">
        <v>45274</v>
      </c>
      <c r="B23" s="4" t="s">
        <v>31</v>
      </c>
      <c r="C23" s="5">
        <v>145</v>
      </c>
      <c r="D23" s="5"/>
      <c r="E23" s="5">
        <f t="shared" si="0"/>
        <v>145</v>
      </c>
      <c r="G23" s="10"/>
      <c r="H23" s="10"/>
      <c r="I23" s="11"/>
      <c r="J23" s="10"/>
    </row>
    <row r="24" spans="1:10" x14ac:dyDescent="0.25">
      <c r="A24" s="3">
        <v>45274</v>
      </c>
      <c r="B24" s="4" t="s">
        <v>32</v>
      </c>
      <c r="C24" s="5">
        <v>300</v>
      </c>
      <c r="D24" s="5"/>
      <c r="E24" s="5">
        <f t="shared" si="0"/>
        <v>300</v>
      </c>
      <c r="G24" s="10"/>
      <c r="H24" s="10"/>
      <c r="I24" s="11"/>
      <c r="J24" s="10"/>
    </row>
    <row r="25" spans="1:10" x14ac:dyDescent="0.25">
      <c r="A25" s="3">
        <v>45275</v>
      </c>
      <c r="B25" s="4" t="s">
        <v>33</v>
      </c>
      <c r="C25" s="5">
        <f>1192+921</f>
        <v>2113</v>
      </c>
      <c r="D25" s="15">
        <v>357</v>
      </c>
      <c r="E25" s="5">
        <f t="shared" si="0"/>
        <v>2470</v>
      </c>
      <c r="G25" s="10"/>
      <c r="H25" s="10"/>
      <c r="I25" s="11"/>
      <c r="J25" s="10"/>
    </row>
    <row r="26" spans="1:10" x14ac:dyDescent="0.25">
      <c r="A26" s="3">
        <v>45275</v>
      </c>
      <c r="B26" s="4" t="s">
        <v>34</v>
      </c>
      <c r="C26" s="5">
        <v>168</v>
      </c>
      <c r="D26" s="5"/>
      <c r="E26" s="5">
        <f t="shared" si="0"/>
        <v>168</v>
      </c>
      <c r="G26" s="10"/>
      <c r="H26" s="10"/>
      <c r="I26" s="11"/>
      <c r="J26" s="10"/>
    </row>
    <row r="27" spans="1:10" x14ac:dyDescent="0.25">
      <c r="A27" s="3">
        <v>45275</v>
      </c>
      <c r="B27" s="4" t="s">
        <v>35</v>
      </c>
      <c r="C27" s="5">
        <v>351</v>
      </c>
      <c r="D27" s="5"/>
      <c r="E27" s="5">
        <f t="shared" si="0"/>
        <v>351</v>
      </c>
      <c r="G27" s="10"/>
      <c r="H27" s="10"/>
      <c r="I27" s="11"/>
      <c r="J27" s="10"/>
    </row>
    <row r="28" spans="1:10" x14ac:dyDescent="0.25">
      <c r="A28" s="3">
        <v>45275</v>
      </c>
      <c r="B28" s="4" t="s">
        <v>36</v>
      </c>
      <c r="C28" s="5">
        <v>782</v>
      </c>
      <c r="D28" s="15">
        <v>1289</v>
      </c>
      <c r="E28" s="5">
        <f t="shared" si="0"/>
        <v>2071</v>
      </c>
      <c r="G28" s="10"/>
      <c r="H28" s="10"/>
      <c r="I28" s="11"/>
      <c r="J28" s="10"/>
    </row>
    <row r="29" spans="1:10" x14ac:dyDescent="0.25">
      <c r="A29" s="3">
        <v>45275</v>
      </c>
      <c r="B29" s="4" t="s">
        <v>37</v>
      </c>
      <c r="C29" s="5">
        <v>508</v>
      </c>
      <c r="D29" s="15">
        <v>592</v>
      </c>
      <c r="E29" s="5">
        <f t="shared" si="0"/>
        <v>1100</v>
      </c>
      <c r="G29" s="10"/>
      <c r="H29" s="10"/>
      <c r="I29" s="11"/>
      <c r="J29" s="10"/>
    </row>
    <row r="30" spans="1:10" x14ac:dyDescent="0.25">
      <c r="A30" s="3">
        <v>45278</v>
      </c>
      <c r="B30" s="4" t="s">
        <v>38</v>
      </c>
      <c r="C30" s="5">
        <v>594</v>
      </c>
      <c r="D30" s="5"/>
      <c r="E30" s="5">
        <f t="shared" si="0"/>
        <v>594</v>
      </c>
      <c r="G30" s="10"/>
      <c r="H30" s="10"/>
      <c r="I30" s="11"/>
      <c r="J30" s="10"/>
    </row>
    <row r="31" spans="1:10" x14ac:dyDescent="0.25">
      <c r="A31" s="3">
        <v>45278</v>
      </c>
      <c r="B31" s="4" t="s">
        <v>39</v>
      </c>
      <c r="C31" s="5">
        <v>237</v>
      </c>
      <c r="D31" s="15">
        <v>72</v>
      </c>
      <c r="E31" s="5">
        <f t="shared" si="0"/>
        <v>309</v>
      </c>
      <c r="G31" s="10"/>
      <c r="H31" s="10"/>
      <c r="I31" s="11"/>
      <c r="J31" s="10"/>
    </row>
    <row r="32" spans="1:10" x14ac:dyDescent="0.25">
      <c r="A32" s="3">
        <v>45278</v>
      </c>
      <c r="B32" s="4" t="s">
        <v>40</v>
      </c>
      <c r="C32" s="5">
        <v>272</v>
      </c>
      <c r="D32" s="15">
        <v>38</v>
      </c>
      <c r="E32" s="5">
        <f t="shared" si="0"/>
        <v>310</v>
      </c>
      <c r="G32" s="10"/>
      <c r="H32" s="10"/>
      <c r="I32" s="11"/>
      <c r="J32" s="10"/>
    </row>
    <row r="33" spans="1:10" x14ac:dyDescent="0.25">
      <c r="A33" s="3">
        <v>45278</v>
      </c>
      <c r="B33" s="4" t="s">
        <v>41</v>
      </c>
      <c r="C33" s="5">
        <v>50</v>
      </c>
      <c r="D33" s="15">
        <v>514</v>
      </c>
      <c r="E33" s="5">
        <f t="shared" si="0"/>
        <v>564</v>
      </c>
      <c r="G33" s="10"/>
      <c r="H33" s="10"/>
      <c r="I33" s="11"/>
      <c r="J33" s="10"/>
    </row>
    <row r="34" spans="1:10" x14ac:dyDescent="0.25">
      <c r="A34" s="3">
        <v>45278</v>
      </c>
      <c r="B34" s="4" t="s">
        <v>42</v>
      </c>
      <c r="C34" s="5">
        <v>320</v>
      </c>
      <c r="D34" s="15">
        <v>186</v>
      </c>
      <c r="E34" s="5">
        <f t="shared" si="0"/>
        <v>506</v>
      </c>
      <c r="G34" s="10"/>
      <c r="H34" s="10"/>
      <c r="I34" s="11"/>
      <c r="J34" s="10"/>
    </row>
    <row r="35" spans="1:10" x14ac:dyDescent="0.25">
      <c r="A35" s="3">
        <v>45278</v>
      </c>
      <c r="B35" s="4" t="s">
        <v>43</v>
      </c>
      <c r="C35" s="5">
        <v>344</v>
      </c>
      <c r="D35" s="15">
        <v>64</v>
      </c>
      <c r="E35" s="5">
        <f t="shared" si="0"/>
        <v>408</v>
      </c>
      <c r="G35" s="10"/>
      <c r="H35" s="10"/>
      <c r="I35" s="11"/>
      <c r="J35" s="10"/>
    </row>
    <row r="36" spans="1:10" x14ac:dyDescent="0.25">
      <c r="A36" s="3">
        <v>45279</v>
      </c>
      <c r="B36" s="4" t="s">
        <v>44</v>
      </c>
      <c r="C36" s="5">
        <v>150</v>
      </c>
      <c r="D36" s="15">
        <v>294</v>
      </c>
      <c r="E36" s="5">
        <f t="shared" si="0"/>
        <v>444</v>
      </c>
      <c r="G36" s="10"/>
      <c r="H36" s="10"/>
      <c r="I36" s="11"/>
      <c r="J36" s="10"/>
    </row>
    <row r="37" spans="1:10" x14ac:dyDescent="0.25">
      <c r="A37" s="3">
        <v>45279</v>
      </c>
      <c r="B37" s="4" t="s">
        <v>37</v>
      </c>
      <c r="C37" s="5"/>
      <c r="D37" s="15">
        <v>248</v>
      </c>
      <c r="E37" s="5">
        <f t="shared" si="0"/>
        <v>248</v>
      </c>
      <c r="G37" s="10"/>
      <c r="H37" s="10"/>
      <c r="I37" s="11"/>
      <c r="J37" s="10"/>
    </row>
    <row r="38" spans="1:10" x14ac:dyDescent="0.25">
      <c r="A38" s="3">
        <v>45280</v>
      </c>
      <c r="B38" s="4" t="s">
        <v>45</v>
      </c>
      <c r="C38" s="5">
        <v>472</v>
      </c>
      <c r="D38" s="15"/>
      <c r="E38" s="5">
        <f t="shared" si="0"/>
        <v>472</v>
      </c>
      <c r="G38" s="10"/>
      <c r="H38" s="10"/>
      <c r="I38" s="11"/>
      <c r="J38" s="10"/>
    </row>
    <row r="39" spans="1:10" x14ac:dyDescent="0.25">
      <c r="A39" s="3">
        <v>45281</v>
      </c>
      <c r="B39" s="4" t="s">
        <v>46</v>
      </c>
      <c r="C39" s="5">
        <v>458</v>
      </c>
      <c r="D39" s="15"/>
      <c r="E39" s="5">
        <f t="shared" si="0"/>
        <v>458</v>
      </c>
      <c r="G39" s="10"/>
      <c r="H39" s="10"/>
      <c r="I39" s="11"/>
      <c r="J39" s="10"/>
    </row>
    <row r="40" spans="1:10" x14ac:dyDescent="0.25">
      <c r="A40" s="3">
        <v>45280</v>
      </c>
      <c r="B40" s="4" t="s">
        <v>47</v>
      </c>
      <c r="C40" s="5">
        <f>1221-474</f>
        <v>747</v>
      </c>
      <c r="D40" s="15">
        <v>474</v>
      </c>
      <c r="E40" s="5">
        <f t="shared" si="0"/>
        <v>1221</v>
      </c>
      <c r="G40" s="10"/>
      <c r="H40" s="10"/>
      <c r="I40" s="11"/>
      <c r="J40" s="10"/>
    </row>
    <row r="41" spans="1:10" x14ac:dyDescent="0.25">
      <c r="A41" s="3">
        <v>45282</v>
      </c>
      <c r="B41" s="4" t="s">
        <v>48</v>
      </c>
      <c r="C41" s="5">
        <v>200</v>
      </c>
      <c r="D41" s="15">
        <v>994</v>
      </c>
      <c r="E41" s="5">
        <f t="shared" si="0"/>
        <v>1194</v>
      </c>
      <c r="G41" s="10"/>
      <c r="H41" s="10"/>
      <c r="I41" s="11"/>
      <c r="J41" s="10"/>
    </row>
    <row r="42" spans="1:10" x14ac:dyDescent="0.25">
      <c r="A42" s="3">
        <v>45281</v>
      </c>
      <c r="B42" s="4" t="s">
        <v>49</v>
      </c>
      <c r="C42" s="5">
        <v>670</v>
      </c>
      <c r="D42" s="15">
        <v>1738</v>
      </c>
      <c r="E42" s="5">
        <f t="shared" si="0"/>
        <v>2408</v>
      </c>
      <c r="G42" s="10"/>
      <c r="H42" s="10"/>
      <c r="I42" s="11"/>
      <c r="J42" s="10"/>
    </row>
    <row r="43" spans="1:10" x14ac:dyDescent="0.25">
      <c r="A43" s="3">
        <v>45282</v>
      </c>
      <c r="B43" s="4" t="s">
        <v>50</v>
      </c>
      <c r="C43" s="5">
        <v>478</v>
      </c>
      <c r="D43" s="15"/>
      <c r="E43" s="5">
        <f t="shared" si="0"/>
        <v>478</v>
      </c>
      <c r="G43" s="10"/>
      <c r="H43" s="10"/>
      <c r="I43" s="11"/>
      <c r="J43" s="10"/>
    </row>
    <row r="44" spans="1:10" x14ac:dyDescent="0.25">
      <c r="A44" s="3">
        <v>45282</v>
      </c>
      <c r="B44" s="4" t="s">
        <v>51</v>
      </c>
      <c r="C44" s="5">
        <v>300</v>
      </c>
      <c r="D44" s="15">
        <v>454</v>
      </c>
      <c r="E44" s="5">
        <f t="shared" si="0"/>
        <v>754</v>
      </c>
      <c r="G44" s="10"/>
      <c r="H44" s="10"/>
      <c r="I44" s="11"/>
      <c r="J44" s="10"/>
    </row>
    <row r="45" spans="1:10" x14ac:dyDescent="0.25">
      <c r="A45" s="17">
        <v>45282</v>
      </c>
      <c r="B45" s="18" t="s">
        <v>52</v>
      </c>
      <c r="C45" s="15">
        <v>2094</v>
      </c>
      <c r="D45" s="15">
        <v>1053</v>
      </c>
      <c r="E45" s="15">
        <f t="shared" si="0"/>
        <v>3147</v>
      </c>
      <c r="G45" s="10"/>
      <c r="H45" s="10"/>
      <c r="I45" s="11"/>
      <c r="J45" s="10"/>
    </row>
    <row r="46" spans="1:10" x14ac:dyDescent="0.25">
      <c r="A46" s="3">
        <v>45282</v>
      </c>
      <c r="B46" s="4" t="s">
        <v>53</v>
      </c>
      <c r="C46" s="5">
        <v>1375</v>
      </c>
      <c r="D46" s="15"/>
      <c r="E46" s="5">
        <f t="shared" si="0"/>
        <v>1375</v>
      </c>
      <c r="G46" s="10"/>
      <c r="H46" s="10"/>
      <c r="I46" s="11"/>
      <c r="J46" s="10"/>
    </row>
    <row r="47" spans="1:10" x14ac:dyDescent="0.25">
      <c r="A47" s="3">
        <v>45283</v>
      </c>
      <c r="B47" s="4" t="s">
        <v>54</v>
      </c>
      <c r="C47" s="5">
        <v>250</v>
      </c>
      <c r="D47" s="15"/>
      <c r="E47" s="5">
        <f t="shared" si="0"/>
        <v>250</v>
      </c>
      <c r="G47" s="10"/>
      <c r="H47" s="10"/>
      <c r="I47" s="11"/>
      <c r="J47" s="10"/>
    </row>
    <row r="48" spans="1:10" x14ac:dyDescent="0.25">
      <c r="A48" s="3">
        <v>45283</v>
      </c>
      <c r="B48" s="4" t="s">
        <v>55</v>
      </c>
      <c r="C48" s="5">
        <v>280</v>
      </c>
      <c r="D48" s="15">
        <v>273</v>
      </c>
      <c r="E48" s="5">
        <f t="shared" si="0"/>
        <v>553</v>
      </c>
      <c r="G48" s="10"/>
      <c r="H48" s="10"/>
      <c r="I48" s="11"/>
      <c r="J48" s="10"/>
    </row>
    <row r="49" spans="1:10" x14ac:dyDescent="0.25">
      <c r="A49" s="3">
        <v>45283</v>
      </c>
      <c r="B49" s="4" t="s">
        <v>56</v>
      </c>
      <c r="C49" s="5">
        <f>1163-513</f>
        <v>650</v>
      </c>
      <c r="D49" s="15">
        <v>513</v>
      </c>
      <c r="E49" s="5">
        <f t="shared" si="0"/>
        <v>1163</v>
      </c>
      <c r="G49" s="10"/>
      <c r="H49" s="10"/>
      <c r="I49" s="11"/>
      <c r="J49" s="10"/>
    </row>
    <row r="50" spans="1:10" x14ac:dyDescent="0.25">
      <c r="A50" s="3">
        <v>45283</v>
      </c>
      <c r="B50" s="4" t="s">
        <v>57</v>
      </c>
      <c r="C50" s="5">
        <f>2983-753</f>
        <v>2230</v>
      </c>
      <c r="D50" s="15">
        <v>753</v>
      </c>
      <c r="E50" s="5">
        <f t="shared" si="0"/>
        <v>2983</v>
      </c>
      <c r="G50" s="10"/>
      <c r="H50" s="10"/>
      <c r="I50" s="11"/>
      <c r="J50" s="10"/>
    </row>
    <row r="51" spans="1:10" x14ac:dyDescent="0.25">
      <c r="A51" s="3">
        <v>45286</v>
      </c>
      <c r="B51" s="4" t="s">
        <v>58</v>
      </c>
      <c r="C51" s="5">
        <f>1203-528</f>
        <v>675</v>
      </c>
      <c r="D51" s="15">
        <v>528</v>
      </c>
      <c r="E51" s="5">
        <f t="shared" si="0"/>
        <v>1203</v>
      </c>
      <c r="G51" s="10"/>
      <c r="H51" s="10"/>
      <c r="I51" s="11"/>
      <c r="J51" s="10"/>
    </row>
    <row r="52" spans="1:10" x14ac:dyDescent="0.25">
      <c r="A52" s="3">
        <v>45287</v>
      </c>
      <c r="B52" s="4" t="s">
        <v>59</v>
      </c>
      <c r="C52" s="5">
        <v>210</v>
      </c>
      <c r="D52" s="5"/>
      <c r="E52" s="5">
        <f t="shared" si="0"/>
        <v>210</v>
      </c>
      <c r="G52" s="10"/>
      <c r="H52" s="10"/>
      <c r="I52" s="11"/>
      <c r="J52" s="10"/>
    </row>
    <row r="53" spans="1:10" x14ac:dyDescent="0.25">
      <c r="A53" s="3">
        <v>45654</v>
      </c>
      <c r="B53" s="4" t="s">
        <v>60</v>
      </c>
      <c r="C53" s="16"/>
      <c r="D53" s="15">
        <v>148</v>
      </c>
      <c r="E53" s="5">
        <f t="shared" si="0"/>
        <v>148</v>
      </c>
      <c r="G53" s="10"/>
      <c r="H53" s="10"/>
      <c r="I53" s="11"/>
      <c r="J53" s="10"/>
    </row>
    <row r="54" spans="1:10" x14ac:dyDescent="0.25">
      <c r="A54" s="3">
        <v>45654</v>
      </c>
      <c r="B54" s="4" t="s">
        <v>61</v>
      </c>
      <c r="C54" s="5">
        <f>822-276</f>
        <v>546</v>
      </c>
      <c r="D54" s="15">
        <v>276</v>
      </c>
      <c r="E54" s="5">
        <f t="shared" si="0"/>
        <v>822</v>
      </c>
      <c r="G54" s="10"/>
      <c r="H54" s="10"/>
      <c r="I54" s="11"/>
      <c r="J54" s="10"/>
    </row>
    <row r="55" spans="1:10" x14ac:dyDescent="0.25">
      <c r="A55" s="3">
        <v>45655</v>
      </c>
      <c r="B55" s="4" t="s">
        <v>62</v>
      </c>
      <c r="C55" s="5">
        <f>1233-324</f>
        <v>909</v>
      </c>
      <c r="D55" s="15">
        <v>324</v>
      </c>
      <c r="E55" s="5">
        <f t="shared" si="0"/>
        <v>1233</v>
      </c>
      <c r="G55" s="10"/>
      <c r="H55" s="10"/>
      <c r="I55" s="11"/>
      <c r="J55" s="10"/>
    </row>
    <row r="56" spans="1:10" x14ac:dyDescent="0.25">
      <c r="A56" s="3">
        <v>45655</v>
      </c>
      <c r="B56" s="4" t="s">
        <v>63</v>
      </c>
      <c r="C56" s="5"/>
      <c r="D56" s="15">
        <v>880</v>
      </c>
      <c r="E56" s="5">
        <f t="shared" si="0"/>
        <v>880</v>
      </c>
      <c r="G56" s="10"/>
      <c r="H56" s="10"/>
      <c r="I56" s="11"/>
      <c r="J56" s="10"/>
    </row>
    <row r="57" spans="1:10" x14ac:dyDescent="0.25">
      <c r="A57" s="3"/>
      <c r="B57" s="4"/>
      <c r="C57" s="5"/>
      <c r="D57" s="5"/>
      <c r="E57" s="5">
        <f t="shared" si="0"/>
        <v>0</v>
      </c>
      <c r="G57" s="10"/>
      <c r="H57" s="10"/>
      <c r="I57" s="11"/>
      <c r="J57" s="10"/>
    </row>
    <row r="58" spans="1:10" x14ac:dyDescent="0.25">
      <c r="A58" s="3"/>
      <c r="B58" s="4"/>
      <c r="C58" s="5"/>
      <c r="D58" s="5"/>
      <c r="E58" s="5">
        <f t="shared" si="0"/>
        <v>0</v>
      </c>
      <c r="G58" s="10"/>
      <c r="H58" s="10"/>
      <c r="I58" s="11"/>
      <c r="J58" s="10"/>
    </row>
    <row r="59" spans="1:10" x14ac:dyDescent="0.25">
      <c r="A59" s="3"/>
      <c r="B59" s="4"/>
      <c r="C59" s="5">
        <f>SUM(C2:C58)</f>
        <v>35431</v>
      </c>
      <c r="D59" s="5">
        <f>SUM(D2:D58)</f>
        <v>17620</v>
      </c>
      <c r="E59" s="6">
        <f>SUM(E2:E58)</f>
        <v>53051</v>
      </c>
      <c r="G59" s="10"/>
      <c r="H59" s="10"/>
      <c r="I59" s="11"/>
      <c r="J59" s="1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A25" sqref="A25"/>
    </sheetView>
  </sheetViews>
  <sheetFormatPr defaultRowHeight="15" x14ac:dyDescent="0.25"/>
  <cols>
    <col min="2" max="2" width="35" customWidth="1"/>
    <col min="3" max="3" width="12.28515625" customWidth="1"/>
    <col min="4" max="4" width="12.5703125" bestFit="1" customWidth="1"/>
    <col min="5" max="5" width="18.85546875" style="7" bestFit="1" customWidth="1"/>
    <col min="8" max="8" width="13.140625" bestFit="1" customWidth="1"/>
    <col min="9" max="9" width="17.42578125" bestFit="1" customWidth="1"/>
    <col min="10" max="10" width="9.7109375" bestFit="1" customWidth="1"/>
  </cols>
  <sheetData>
    <row r="1" spans="1:10" s="19" customFormat="1" ht="26.25" customHeight="1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G1" s="1" t="s">
        <v>0</v>
      </c>
      <c r="H1" s="1" t="s">
        <v>9</v>
      </c>
      <c r="I1" s="1" t="s">
        <v>10</v>
      </c>
      <c r="J1" s="1" t="s">
        <v>28</v>
      </c>
    </row>
    <row r="2" spans="1:10" x14ac:dyDescent="0.25">
      <c r="A2" s="20">
        <v>45295</v>
      </c>
      <c r="B2" s="4" t="s">
        <v>69</v>
      </c>
      <c r="C2" s="5">
        <v>260</v>
      </c>
      <c r="D2" s="5"/>
      <c r="E2" s="11">
        <f>SUM(C2+D2)</f>
        <v>260</v>
      </c>
      <c r="G2" s="9">
        <v>45301</v>
      </c>
      <c r="H2" s="10" t="s">
        <v>77</v>
      </c>
      <c r="I2" s="10">
        <v>2714.03</v>
      </c>
      <c r="J2" s="10" t="s">
        <v>78</v>
      </c>
    </row>
    <row r="3" spans="1:10" x14ac:dyDescent="0.25">
      <c r="A3" s="20">
        <v>45295</v>
      </c>
      <c r="B3" s="4" t="s">
        <v>70</v>
      </c>
      <c r="C3" s="5"/>
      <c r="D3" s="15">
        <v>257</v>
      </c>
      <c r="E3" s="11">
        <f t="shared" ref="E3:E45" si="0">C3+D3</f>
        <v>257</v>
      </c>
      <c r="G3" s="10"/>
      <c r="H3" s="10"/>
      <c r="I3" s="10"/>
      <c r="J3" s="10"/>
    </row>
    <row r="4" spans="1:10" x14ac:dyDescent="0.25">
      <c r="A4" s="20">
        <v>45295</v>
      </c>
      <c r="B4" s="4" t="s">
        <v>71</v>
      </c>
      <c r="C4" s="5">
        <v>531</v>
      </c>
      <c r="D4" s="15">
        <v>46</v>
      </c>
      <c r="E4" s="11">
        <f t="shared" si="0"/>
        <v>577</v>
      </c>
      <c r="G4" s="10"/>
      <c r="H4" s="10"/>
      <c r="I4" s="10"/>
      <c r="J4" s="10"/>
    </row>
    <row r="5" spans="1:10" x14ac:dyDescent="0.25">
      <c r="A5" s="20">
        <v>45295</v>
      </c>
      <c r="B5" s="4" t="s">
        <v>72</v>
      </c>
      <c r="C5" s="5">
        <v>157</v>
      </c>
      <c r="D5" s="15">
        <v>82</v>
      </c>
      <c r="E5" s="11">
        <f t="shared" si="0"/>
        <v>239</v>
      </c>
      <c r="G5" s="10"/>
      <c r="H5" s="10"/>
      <c r="I5" s="10"/>
      <c r="J5" s="10"/>
    </row>
    <row r="6" spans="1:10" x14ac:dyDescent="0.25">
      <c r="A6" s="20">
        <v>45297</v>
      </c>
      <c r="B6" s="4" t="s">
        <v>73</v>
      </c>
      <c r="C6" s="5"/>
      <c r="D6" s="15">
        <v>62</v>
      </c>
      <c r="E6" s="11">
        <f t="shared" si="0"/>
        <v>62</v>
      </c>
      <c r="G6" s="10"/>
      <c r="H6" s="10"/>
      <c r="I6" s="10"/>
      <c r="J6" s="10"/>
    </row>
    <row r="7" spans="1:10" x14ac:dyDescent="0.25">
      <c r="A7" s="20">
        <v>45297</v>
      </c>
      <c r="B7" s="4" t="s">
        <v>74</v>
      </c>
      <c r="C7" s="5">
        <f>1377+527</f>
        <v>1904</v>
      </c>
      <c r="D7" s="15">
        <f>1623-527</f>
        <v>1096</v>
      </c>
      <c r="E7" s="11">
        <f t="shared" si="0"/>
        <v>3000</v>
      </c>
      <c r="G7" s="10"/>
      <c r="H7" s="10"/>
      <c r="I7" s="10"/>
      <c r="J7" s="10"/>
    </row>
    <row r="8" spans="1:10" x14ac:dyDescent="0.25">
      <c r="A8" s="20">
        <v>45300</v>
      </c>
      <c r="B8" s="4" t="s">
        <v>75</v>
      </c>
      <c r="C8" s="5">
        <v>266</v>
      </c>
      <c r="D8" s="15">
        <v>69</v>
      </c>
      <c r="E8" s="11">
        <f t="shared" si="0"/>
        <v>335</v>
      </c>
      <c r="G8" s="10"/>
      <c r="H8" s="10"/>
      <c r="I8" s="10"/>
      <c r="J8" s="10"/>
    </row>
    <row r="9" spans="1:10" x14ac:dyDescent="0.25">
      <c r="A9" s="20">
        <v>45300</v>
      </c>
      <c r="B9" s="4" t="s">
        <v>76</v>
      </c>
      <c r="C9" s="5">
        <v>775</v>
      </c>
      <c r="D9" s="15">
        <v>358</v>
      </c>
      <c r="E9" s="11">
        <f t="shared" si="0"/>
        <v>1133</v>
      </c>
      <c r="G9" s="10"/>
      <c r="H9" s="10"/>
      <c r="I9" s="10"/>
      <c r="J9" s="10"/>
    </row>
    <row r="10" spans="1:10" x14ac:dyDescent="0.25">
      <c r="A10" s="20">
        <v>45301</v>
      </c>
      <c r="B10" s="4" t="s">
        <v>79</v>
      </c>
      <c r="C10" s="5">
        <v>268</v>
      </c>
      <c r="D10" s="5"/>
      <c r="E10" s="11">
        <f t="shared" si="0"/>
        <v>268</v>
      </c>
      <c r="G10" s="10"/>
      <c r="H10" s="10"/>
      <c r="I10" s="10"/>
      <c r="J10" s="10"/>
    </row>
    <row r="11" spans="1:10" x14ac:dyDescent="0.25">
      <c r="A11" s="20">
        <v>45301</v>
      </c>
      <c r="B11" s="4" t="s">
        <v>80</v>
      </c>
      <c r="C11" s="5">
        <v>1485</v>
      </c>
      <c r="D11" s="5"/>
      <c r="E11" s="11">
        <f t="shared" si="0"/>
        <v>1485</v>
      </c>
      <c r="G11" s="10"/>
      <c r="H11" s="10"/>
      <c r="I11" s="10"/>
      <c r="J11" s="10"/>
    </row>
    <row r="12" spans="1:10" x14ac:dyDescent="0.25">
      <c r="A12" s="20">
        <v>45301</v>
      </c>
      <c r="B12" s="4" t="s">
        <v>81</v>
      </c>
      <c r="C12" s="5"/>
      <c r="D12" s="5">
        <v>268</v>
      </c>
      <c r="E12" s="11">
        <f t="shared" si="0"/>
        <v>268</v>
      </c>
      <c r="G12" s="10"/>
      <c r="H12" s="10"/>
      <c r="I12" s="10"/>
      <c r="J12" s="10"/>
    </row>
    <row r="13" spans="1:10" x14ac:dyDescent="0.25">
      <c r="A13" s="20">
        <v>45301</v>
      </c>
      <c r="B13" s="4" t="s">
        <v>82</v>
      </c>
      <c r="C13" s="5">
        <v>171</v>
      </c>
      <c r="D13" s="5">
        <v>225</v>
      </c>
      <c r="E13" s="11">
        <f t="shared" si="0"/>
        <v>396</v>
      </c>
      <c r="G13" s="10"/>
      <c r="H13" s="10"/>
      <c r="I13" s="10"/>
      <c r="J13" s="10"/>
    </row>
    <row r="14" spans="1:10" x14ac:dyDescent="0.25">
      <c r="A14" s="20">
        <v>45303</v>
      </c>
      <c r="B14" s="4" t="s">
        <v>83</v>
      </c>
      <c r="C14" s="5">
        <v>209</v>
      </c>
      <c r="D14" s="5"/>
      <c r="E14" s="11">
        <f t="shared" si="0"/>
        <v>209</v>
      </c>
      <c r="G14" s="10"/>
      <c r="H14" s="10"/>
      <c r="I14" s="10"/>
      <c r="J14" s="10"/>
    </row>
    <row r="15" spans="1:10" x14ac:dyDescent="0.25">
      <c r="A15" s="20">
        <v>45303</v>
      </c>
      <c r="B15" s="4" t="s">
        <v>84</v>
      </c>
      <c r="C15" s="5">
        <v>120</v>
      </c>
      <c r="D15" s="5">
        <v>358</v>
      </c>
      <c r="E15" s="11">
        <f t="shared" si="0"/>
        <v>478</v>
      </c>
      <c r="G15" s="10"/>
      <c r="H15" s="10"/>
      <c r="I15" s="10"/>
      <c r="J15" s="10"/>
    </row>
    <row r="16" spans="1:10" x14ac:dyDescent="0.25">
      <c r="A16" s="20">
        <v>45303</v>
      </c>
      <c r="B16" s="4" t="s">
        <v>85</v>
      </c>
      <c r="C16" s="5">
        <f>373-158</f>
        <v>215</v>
      </c>
      <c r="D16" s="5">
        <v>158</v>
      </c>
      <c r="E16" s="11">
        <f t="shared" si="0"/>
        <v>373</v>
      </c>
      <c r="G16" s="10"/>
      <c r="H16" s="10"/>
      <c r="I16" s="10"/>
      <c r="J16" s="10"/>
    </row>
    <row r="17" spans="1:10" x14ac:dyDescent="0.25">
      <c r="A17" s="20">
        <v>45304</v>
      </c>
      <c r="B17" s="4" t="s">
        <v>86</v>
      </c>
      <c r="C17" s="5"/>
      <c r="D17" s="5">
        <v>723</v>
      </c>
      <c r="E17" s="11">
        <f t="shared" si="0"/>
        <v>723</v>
      </c>
      <c r="G17" s="10"/>
      <c r="H17" s="10"/>
      <c r="I17" s="10"/>
      <c r="J17" s="10"/>
    </row>
    <row r="18" spans="1:10" x14ac:dyDescent="0.25">
      <c r="A18" s="20">
        <v>45306</v>
      </c>
      <c r="B18" s="4" t="s">
        <v>87</v>
      </c>
      <c r="C18" s="5"/>
      <c r="D18" s="5">
        <v>136</v>
      </c>
      <c r="E18" s="11">
        <f t="shared" si="0"/>
        <v>136</v>
      </c>
      <c r="G18" s="10"/>
      <c r="H18" s="10"/>
      <c r="I18" s="10"/>
      <c r="J18" s="10"/>
    </row>
    <row r="19" spans="1:10" x14ac:dyDescent="0.25">
      <c r="A19" s="20">
        <v>45307</v>
      </c>
      <c r="B19" s="4" t="s">
        <v>88</v>
      </c>
      <c r="C19" s="5">
        <f>3076-773</f>
        <v>2303</v>
      </c>
      <c r="D19" s="5">
        <v>773</v>
      </c>
      <c r="E19" s="11">
        <f t="shared" si="0"/>
        <v>3076</v>
      </c>
      <c r="G19" s="10"/>
      <c r="H19" s="10"/>
      <c r="I19" s="10"/>
      <c r="J19" s="10"/>
    </row>
    <row r="20" spans="1:10" x14ac:dyDescent="0.25">
      <c r="A20" s="20">
        <v>45307</v>
      </c>
      <c r="B20" s="4" t="s">
        <v>89</v>
      </c>
      <c r="C20" s="6">
        <v>572</v>
      </c>
      <c r="D20" s="6">
        <v>248</v>
      </c>
      <c r="E20" s="11">
        <f t="shared" si="0"/>
        <v>820</v>
      </c>
      <c r="G20" s="10"/>
      <c r="H20" s="10"/>
      <c r="I20" s="10"/>
      <c r="J20" s="10"/>
    </row>
    <row r="21" spans="1:10" x14ac:dyDescent="0.25">
      <c r="A21" s="20">
        <v>45307</v>
      </c>
      <c r="B21" s="4" t="s">
        <v>90</v>
      </c>
      <c r="C21" s="5"/>
      <c r="D21" s="5">
        <v>96</v>
      </c>
      <c r="E21" s="11">
        <f t="shared" si="0"/>
        <v>96</v>
      </c>
      <c r="G21" s="10"/>
      <c r="H21" s="10"/>
      <c r="I21" s="10"/>
      <c r="J21" s="10"/>
    </row>
    <row r="22" spans="1:10" x14ac:dyDescent="0.25">
      <c r="A22" s="20">
        <v>45308</v>
      </c>
      <c r="B22" s="4" t="s">
        <v>91</v>
      </c>
      <c r="C22" s="5"/>
      <c r="D22" s="5">
        <v>149</v>
      </c>
      <c r="E22" s="11">
        <f t="shared" si="0"/>
        <v>149</v>
      </c>
    </row>
    <row r="23" spans="1:10" x14ac:dyDescent="0.25">
      <c r="A23" s="20">
        <v>45308</v>
      </c>
      <c r="B23" s="4" t="s">
        <v>92</v>
      </c>
      <c r="C23" s="5"/>
      <c r="D23" s="6">
        <v>296</v>
      </c>
      <c r="E23" s="11">
        <f t="shared" si="0"/>
        <v>296</v>
      </c>
    </row>
    <row r="24" spans="1:10" x14ac:dyDescent="0.25">
      <c r="A24" s="20">
        <v>45308</v>
      </c>
      <c r="B24" s="4" t="s">
        <v>93</v>
      </c>
      <c r="C24" s="5"/>
      <c r="D24" s="5"/>
      <c r="E24" s="11">
        <f t="shared" si="0"/>
        <v>0</v>
      </c>
    </row>
    <row r="25" spans="1:10" x14ac:dyDescent="0.25">
      <c r="A25" s="4"/>
      <c r="B25" s="4"/>
      <c r="C25" s="5"/>
      <c r="D25" s="5"/>
      <c r="E25" s="11">
        <f t="shared" si="0"/>
        <v>0</v>
      </c>
    </row>
    <row r="26" spans="1:10" x14ac:dyDescent="0.25">
      <c r="A26" s="4"/>
      <c r="B26" s="4"/>
      <c r="C26" s="5"/>
      <c r="D26" s="5"/>
      <c r="E26" s="11">
        <f t="shared" si="0"/>
        <v>0</v>
      </c>
    </row>
    <row r="27" spans="1:10" x14ac:dyDescent="0.25">
      <c r="A27" s="4"/>
      <c r="B27" s="4"/>
      <c r="C27" s="5"/>
      <c r="D27" s="5"/>
      <c r="E27" s="11">
        <f t="shared" si="0"/>
        <v>0</v>
      </c>
    </row>
    <row r="28" spans="1:10" x14ac:dyDescent="0.25">
      <c r="A28" s="4"/>
      <c r="B28" s="4"/>
      <c r="C28" s="5"/>
      <c r="D28" s="5"/>
      <c r="E28" s="11">
        <f t="shared" si="0"/>
        <v>0</v>
      </c>
    </row>
    <row r="29" spans="1:10" x14ac:dyDescent="0.25">
      <c r="A29" s="4"/>
      <c r="B29" s="4"/>
      <c r="C29" s="5"/>
      <c r="D29" s="5"/>
      <c r="E29" s="11">
        <f t="shared" si="0"/>
        <v>0</v>
      </c>
    </row>
    <row r="30" spans="1:10" x14ac:dyDescent="0.25">
      <c r="A30" s="4"/>
      <c r="B30" s="4"/>
      <c r="C30" s="5"/>
      <c r="D30" s="5"/>
      <c r="E30" s="11">
        <f t="shared" si="0"/>
        <v>0</v>
      </c>
    </row>
    <row r="31" spans="1:10" x14ac:dyDescent="0.25">
      <c r="A31" s="4"/>
      <c r="B31" s="4"/>
      <c r="C31" s="5"/>
      <c r="D31" s="5"/>
      <c r="E31" s="11">
        <f t="shared" si="0"/>
        <v>0</v>
      </c>
    </row>
    <row r="32" spans="1:10" x14ac:dyDescent="0.25">
      <c r="A32" s="4"/>
      <c r="B32" s="4"/>
      <c r="C32" s="5"/>
      <c r="D32" s="5"/>
      <c r="E32" s="11">
        <f t="shared" si="0"/>
        <v>0</v>
      </c>
    </row>
    <row r="33" spans="1:5" x14ac:dyDescent="0.25">
      <c r="A33" s="4"/>
      <c r="B33" s="4"/>
      <c r="C33" s="5"/>
      <c r="D33" s="5"/>
      <c r="E33" s="11">
        <f t="shared" si="0"/>
        <v>0</v>
      </c>
    </row>
    <row r="34" spans="1:5" x14ac:dyDescent="0.25">
      <c r="A34" s="4"/>
      <c r="B34" s="4"/>
      <c r="C34" s="5"/>
      <c r="D34" s="5"/>
      <c r="E34" s="11">
        <f t="shared" si="0"/>
        <v>0</v>
      </c>
    </row>
    <row r="35" spans="1:5" x14ac:dyDescent="0.25">
      <c r="A35" s="4"/>
      <c r="B35" s="4"/>
      <c r="C35" s="5"/>
      <c r="D35" s="5"/>
      <c r="E35" s="11">
        <f t="shared" si="0"/>
        <v>0</v>
      </c>
    </row>
    <row r="36" spans="1:5" x14ac:dyDescent="0.25">
      <c r="A36" s="4"/>
      <c r="B36" s="4"/>
      <c r="C36" s="5"/>
      <c r="D36" s="5"/>
      <c r="E36" s="11">
        <f t="shared" si="0"/>
        <v>0</v>
      </c>
    </row>
    <row r="37" spans="1:5" x14ac:dyDescent="0.25">
      <c r="A37" s="4"/>
      <c r="B37" s="4"/>
      <c r="C37" s="5"/>
      <c r="D37" s="5"/>
      <c r="E37" s="11">
        <f t="shared" si="0"/>
        <v>0</v>
      </c>
    </row>
    <row r="38" spans="1:5" x14ac:dyDescent="0.25">
      <c r="A38" s="4"/>
      <c r="B38" s="4"/>
      <c r="C38" s="5"/>
      <c r="D38" s="5"/>
      <c r="E38" s="11">
        <f t="shared" si="0"/>
        <v>0</v>
      </c>
    </row>
    <row r="39" spans="1:5" x14ac:dyDescent="0.25">
      <c r="A39" s="4"/>
      <c r="B39" s="4"/>
      <c r="C39" s="5"/>
      <c r="D39" s="5"/>
      <c r="E39" s="11">
        <f t="shared" si="0"/>
        <v>0</v>
      </c>
    </row>
    <row r="40" spans="1:5" x14ac:dyDescent="0.25">
      <c r="A40" s="4"/>
      <c r="B40" s="4"/>
      <c r="C40" s="5"/>
      <c r="D40" s="5"/>
      <c r="E40" s="11">
        <f t="shared" si="0"/>
        <v>0</v>
      </c>
    </row>
    <row r="41" spans="1:5" x14ac:dyDescent="0.25">
      <c r="A41" s="4"/>
      <c r="B41" s="4"/>
      <c r="C41" s="5"/>
      <c r="D41" s="5"/>
      <c r="E41" s="11">
        <f>SUM(C41+D41)</f>
        <v>0</v>
      </c>
    </row>
    <row r="42" spans="1:5" x14ac:dyDescent="0.25">
      <c r="A42" s="4"/>
      <c r="B42" s="4"/>
      <c r="C42" s="5"/>
      <c r="D42" s="5"/>
      <c r="E42" s="11">
        <f t="shared" si="0"/>
        <v>0</v>
      </c>
    </row>
    <row r="43" spans="1:5" x14ac:dyDescent="0.25">
      <c r="A43" s="4"/>
      <c r="B43" s="4"/>
      <c r="C43" s="5"/>
      <c r="D43" s="5"/>
      <c r="E43" s="11">
        <f>SUM(C43+D43)</f>
        <v>0</v>
      </c>
    </row>
    <row r="44" spans="1:5" x14ac:dyDescent="0.25">
      <c r="A44" s="4"/>
      <c r="B44" s="4"/>
      <c r="C44" s="5"/>
      <c r="D44" s="5"/>
      <c r="E44" s="11">
        <f>SUM(C44+D44)</f>
        <v>0</v>
      </c>
    </row>
    <row r="45" spans="1:5" x14ac:dyDescent="0.25">
      <c r="A45" s="4"/>
      <c r="B45" s="4"/>
      <c r="C45" s="5"/>
      <c r="D45" s="5"/>
      <c r="E45" s="11">
        <f t="shared" si="0"/>
        <v>0</v>
      </c>
    </row>
    <row r="46" spans="1:5" x14ac:dyDescent="0.25">
      <c r="C46" s="21">
        <f>SUM(C2:C45)</f>
        <v>9236</v>
      </c>
      <c r="D46" s="21">
        <f>SUM(D2:D45)</f>
        <v>5400</v>
      </c>
      <c r="E46" s="22">
        <f>SUM(E2:E45)</f>
        <v>14636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DEZEMBRO</vt:lpstr>
      <vt:lpstr>JANEIRO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2023-12-04T13:57:23Z</dcterms:created>
  <dcterms:modified xsi:type="dcterms:W3CDTF">2024-01-18T22:54:27Z</dcterms:modified>
</cp:coreProperties>
</file>